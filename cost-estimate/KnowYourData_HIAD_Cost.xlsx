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YourData-Cost" sheetId="1" state="visible" r:id="rId1"/>
    <sheet xmlns:r="http://schemas.openxmlformats.org/officeDocument/2006/relationships" name="KnowYourData-eff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sz val="10"/>
    </font>
    <font>
      <b val="1"/>
    </font>
    <font>
      <b val="1"/>
      <color rgb="00FFFFFF"/>
      <sz val="10"/>
    </font>
    <font>
      <b val="1"/>
      <color rgb="001F3864"/>
      <sz val="12"/>
    </font>
    <font>
      <i val="1"/>
      <color rgb="00595959"/>
      <sz val="9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applyAlignment="1" pivotButton="0" quotePrefix="0" xfId="0">
      <alignment vertical="center" wrapText="1"/>
    </xf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2" fillId="4" borderId="1" pivotButton="0" quotePrefix="0" xfId="0"/>
    <xf numFmtId="164" fontId="3" fillId="4" borderId="1" pivotButton="0" quotePrefix="0" xfId="0"/>
    <xf numFmtId="2" fontId="5" fillId="5" borderId="1" pivotButton="0" quotePrefix="0" xfId="0"/>
    <xf numFmtId="2" fontId="3" fillId="5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6" customWidth="1" min="3" max="3"/>
    <col width="18" customWidth="1" min="4" max="4"/>
    <col width="13" customWidth="1" min="5" max="5"/>
    <col width="11" customWidth="1" min="6" max="6"/>
    <col width="8" customWidth="1" min="7" max="7"/>
    <col width="14" customWidth="1" min="8" max="8"/>
    <col width="12" customWidth="1" min="9" max="9"/>
  </cols>
  <sheetData>
    <row r="1">
      <c r="A1" s="1" t="inlineStr">
        <is>
          <t>CloudLabs - Azure Cost Calculator</t>
        </is>
      </c>
    </row>
    <row r="2">
      <c r="A2" s="2" t="inlineStr">
        <is>
          <t>Please enter duration (In Hours)</t>
        </is>
      </c>
      <c r="D2" s="3" t="n">
        <v>6</v>
      </c>
    </row>
    <row r="3">
      <c r="A3" s="2" t="inlineStr">
        <is>
          <t>Please enter uptime (In Hours)</t>
        </is>
      </c>
      <c r="D3" s="3" t="n">
        <v>6</v>
      </c>
    </row>
    <row r="4">
      <c r="A4" s="2" t="inlineStr">
        <is>
          <t>Total Number of Lab Seats</t>
        </is>
      </c>
      <c r="D4" s="3" t="n">
        <v>1</v>
      </c>
    </row>
    <row r="6">
      <c r="A6" s="1" t="inlineStr">
        <is>
          <t>COST ESTIMATE</t>
        </is>
      </c>
    </row>
    <row r="7" ht="42" customHeight="1">
      <c r="A7" s="4" t="inlineStr">
        <is>
          <t>Track name</t>
        </is>
      </c>
      <c r="B7" s="4" t="inlineStr">
        <is>
          <t>Dedicated Resources Deployed</t>
        </is>
      </c>
      <c r="C7" s="4" t="inlineStr">
        <is>
          <t>Type and Size</t>
        </is>
      </c>
      <c r="D7" s="4" t="inlineStr">
        <is>
          <t>Resource can be stopped, if true enter 1 otherwise 0</t>
        </is>
      </c>
      <c r="E7" s="4" t="inlineStr">
        <is>
          <t>Cost/Month</t>
        </is>
      </c>
      <c r="F7" s="4" t="inlineStr">
        <is>
          <t>Fixed Cost</t>
        </is>
      </c>
      <c r="G7" s="4" t="inlineStr">
        <is>
          <t>Count</t>
        </is>
      </c>
      <c r="H7" s="4" t="inlineStr">
        <is>
          <t>Resource Cost</t>
        </is>
      </c>
      <c r="I7" s="4" t="inlineStr">
        <is>
          <t>East US</t>
        </is>
      </c>
    </row>
    <row r="8">
      <c r="A8" s="5" t="inlineStr">
        <is>
          <t>Know Your Data - Microsoft Purview</t>
        </is>
      </c>
      <c r="B8" s="6" t="inlineStr">
        <is>
          <t>Virtual Machine Lab VM</t>
        </is>
      </c>
      <c r="C8" s="6" t="inlineStr">
        <is>
          <t>Standard_D2s_v3 (2 vCPU, 8 GB), Windows</t>
        </is>
      </c>
      <c r="D8" s="6" t="n">
        <v>1</v>
      </c>
      <c r="E8" s="6" t="n">
        <v>154.57</v>
      </c>
      <c r="F8" s="6" t="n">
        <v>0</v>
      </c>
      <c r="G8" s="6" t="n">
        <v>1</v>
      </c>
      <c r="H8" s="7">
        <f>IF(D8=0,(E8/720)*D$2*G8+F8*G8,(E8/720)*D$3*G8+F8*G8)</f>
        <v/>
      </c>
      <c r="I8" s="6" t="n"/>
    </row>
    <row r="9">
      <c r="A9" s="6" t="n"/>
      <c r="B9" s="6" t="inlineStr">
        <is>
          <t>Disks (Lab VM)</t>
        </is>
      </c>
      <c r="C9" s="6" t="inlineStr">
        <is>
          <t>Premium SSD, LRS E10 128 GB</t>
        </is>
      </c>
      <c r="D9" s="6" t="n">
        <v>0</v>
      </c>
      <c r="E9" s="6" t="n">
        <v>19.71</v>
      </c>
      <c r="F9" s="6" t="n">
        <v>0</v>
      </c>
      <c r="G9" s="6" t="n">
        <v>1</v>
      </c>
      <c r="H9" s="7">
        <f>IF(D9=0,(E9/720)*D$2*G9+F9*G9,(E9/720)*D$3*G9+F9*G9)</f>
        <v/>
      </c>
      <c r="I9" s="6" t="n"/>
    </row>
    <row r="10">
      <c r="A10" s="6" t="n"/>
      <c r="B10" s="6" t="inlineStr">
        <is>
          <t>Public IP Addresses</t>
        </is>
      </c>
      <c r="C10" s="6" t="inlineStr">
        <is>
          <t>Type: Standard (ARM), Static</t>
        </is>
      </c>
      <c r="D10" s="6" t="n">
        <v>0</v>
      </c>
      <c r="E10" s="6" t="n">
        <v>3.65</v>
      </c>
      <c r="F10" s="6" t="n">
        <v>0</v>
      </c>
      <c r="G10" s="6" t="n">
        <v>1</v>
      </c>
      <c r="H10" s="7">
        <f>IF(D10=0,(E10/720)*D$2*G10+F10*G10,(E10/720)*D$3*G10+F10*G10)</f>
        <v/>
      </c>
      <c r="I10" s="6" t="n"/>
    </row>
    <row r="11">
      <c r="A11" s="6" t="n"/>
      <c r="B11" s="6" t="inlineStr">
        <is>
          <t>Virtual Network</t>
        </is>
      </c>
      <c r="C11" s="6" t="inlineStr"/>
      <c r="D11" s="6" t="n">
        <v>0</v>
      </c>
      <c r="E11" s="6" t="n">
        <v>0</v>
      </c>
      <c r="F11" s="6" t="n">
        <v>0</v>
      </c>
      <c r="G11" s="6" t="n">
        <v>1</v>
      </c>
      <c r="H11" s="7">
        <f>IF(D11=0,(E11/720)*D$2*G11+F11*G11,(E11/720)*D$3*G11+F11*G11)</f>
        <v/>
      </c>
      <c r="I11" s="6" t="n"/>
    </row>
    <row r="12">
      <c r="A12" s="6" t="n"/>
      <c r="B12" s="6" t="inlineStr">
        <is>
          <t>Network Interface</t>
        </is>
      </c>
      <c r="C12" s="6" t="inlineStr"/>
      <c r="D12" s="6" t="n">
        <v>0</v>
      </c>
      <c r="E12" s="6" t="n">
        <v>0</v>
      </c>
      <c r="F12" s="6" t="n">
        <v>0</v>
      </c>
      <c r="G12" s="6" t="n">
        <v>1</v>
      </c>
      <c r="H12" s="7">
        <f>IF(D12=0,(E12/720)*D$2*G12+F12*G12,(E12/720)*D$3*G12+F12*G12)</f>
        <v/>
      </c>
      <c r="I12" s="6" t="n"/>
    </row>
    <row r="13">
      <c r="A13" s="6" t="n"/>
      <c r="B13" s="6" t="inlineStr">
        <is>
          <t>Network Security Group</t>
        </is>
      </c>
      <c r="C13" s="6" t="inlineStr"/>
      <c r="D13" s="6" t="n">
        <v>0</v>
      </c>
      <c r="E13" s="6" t="n">
        <v>0</v>
      </c>
      <c r="F13" s="6" t="n">
        <v>0</v>
      </c>
      <c r="G13" s="6" t="n">
        <v>1</v>
      </c>
      <c r="H13" s="7">
        <f>IF(D13=0,(E13/720)*D$2*G13+F13*G13,(E13/720)*D$3*G13+F13*G13)</f>
        <v/>
      </c>
      <c r="I13" s="6" t="n"/>
    </row>
    <row r="14">
      <c r="A14" s="8" t="n"/>
      <c r="B14" s="9" t="inlineStr">
        <is>
          <t>Total Cost Per Seat</t>
        </is>
      </c>
      <c r="C14" s="8" t="n"/>
      <c r="D14" s="8" t="n"/>
      <c r="E14" s="8" t="n"/>
      <c r="F14" s="8" t="n"/>
      <c r="G14" s="8" t="n"/>
      <c r="H14" s="10">
        <f>SUM(H8:H13)</f>
        <v/>
      </c>
      <c r="I14" s="8" t="n"/>
    </row>
    <row r="15">
      <c r="A15" s="8" t="n"/>
      <c r="B15" s="9" t="inlineStr">
        <is>
          <t>Total Azure Cost (all seats)</t>
        </is>
      </c>
      <c r="C15" s="8" t="n"/>
      <c r="D15" s="8" t="n"/>
      <c r="E15" s="8" t="n"/>
      <c r="F15" s="8" t="n"/>
      <c r="G15" s="8" t="n"/>
      <c r="H15" s="10">
        <f>H14*D$4</f>
        <v/>
      </c>
      <c r="I15" s="8" t="n"/>
    </row>
    <row r="18">
      <c r="A18" s="1" t="inlineStr">
        <is>
          <t>LICENSE</t>
        </is>
      </c>
      <c r="D18" s="2" t="inlineStr">
        <is>
          <t>Days licence is held</t>
        </is>
      </c>
      <c r="E18" s="3" t="n">
        <v>1</v>
      </c>
    </row>
    <row r="19">
      <c r="A19" s="4" t="inlineStr">
        <is>
          <t>License</t>
        </is>
      </c>
      <c r="B19" s="4" t="inlineStr">
        <is>
          <t>Cost / user / month</t>
        </is>
      </c>
      <c r="C19" s="4" t="inlineStr">
        <is>
          <t>Cost for lab period</t>
        </is>
      </c>
      <c r="D19" s="4" t="inlineStr">
        <is>
          <t>Count</t>
        </is>
      </c>
    </row>
    <row r="20">
      <c r="A20" s="6" t="inlineStr">
        <is>
          <t>Microsoft 365 E5</t>
        </is>
      </c>
      <c r="B20" s="6" t="n">
        <v>57</v>
      </c>
      <c r="C20" s="7">
        <f>(B20/30)*$E$18*D20</f>
        <v/>
      </c>
      <c r="D20" s="6" t="n">
        <v>1</v>
      </c>
    </row>
    <row r="21">
      <c r="A21" s="9" t="inlineStr">
        <is>
          <t>Total</t>
        </is>
      </c>
      <c r="B21" s="8">
        <f>SUM(B20:B20)</f>
        <v/>
      </c>
      <c r="C21" s="10">
        <f>SUM(C20:C20)</f>
        <v/>
      </c>
      <c r="D21" s="8" t="n"/>
    </row>
    <row r="23">
      <c r="A23" s="1" t="inlineStr">
        <is>
          <t>TOTAL COST PER SEAT (Azure + Licence)</t>
        </is>
      </c>
      <c r="C23" s="11">
        <f>H14+C21</f>
        <v/>
      </c>
    </row>
    <row r="24">
      <c r="A24" s="2" t="inlineStr">
        <is>
          <t>TOTAL COST (all seats)</t>
        </is>
      </c>
      <c r="C24" s="12">
        <f>C23*D$4</f>
        <v/>
      </c>
    </row>
    <row r="26">
      <c r="A26" s="13" t="inlineStr">
        <is>
          <t>Rates are East US pay-as-you-go. VNet, NIC and NSG carry no charge.</t>
        </is>
      </c>
    </row>
    <row r="27">
      <c r="A27" s="13" t="inlineStr">
        <is>
          <t>Microsoft Purview Information Protection and DLP are included in Microsoft 365 E5.</t>
        </is>
      </c>
    </row>
    <row r="28">
      <c r="A28" s="13" t="inlineStr">
        <is>
          <t>A newly provisioned tenant needs the unified audit log switched on before the lab runs.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26" customWidth="1" min="2" max="2"/>
    <col width="34" customWidth="1" min="3" max="3"/>
    <col width="14" customWidth="1" min="4" max="4"/>
    <col width="14" customWidth="1" min="5" max="5"/>
  </cols>
  <sheetData>
    <row r="1">
      <c r="A1" s="1" t="inlineStr">
        <is>
          <t>Know Your Data: Discover, Classify and Protect with Microsoft Purview</t>
        </is>
      </c>
    </row>
    <row r="2">
      <c r="A2" s="2" t="inlineStr">
        <is>
          <t>SOW</t>
        </is>
      </c>
      <c r="B2" t="inlineStr">
        <is>
          <t>1. Automate the prerequisites and lab environment based on the requirement.</t>
        </is>
      </c>
    </row>
    <row r="3">
      <c r="B3" t="inlineStr">
        <is>
          <t>2. Create complete lab content aligned to the shared agenda.</t>
        </is>
      </c>
    </row>
    <row r="4">
      <c r="B4" t="inlineStr">
        <is>
          <t>3. Onboard to CloudLabs and configure template, ODL, permissions and licences.</t>
        </is>
      </c>
    </row>
    <row r="5">
      <c r="B5" t="inlineStr">
        <is>
          <t>4. Lab validations.</t>
        </is>
      </c>
    </row>
    <row r="7">
      <c r="B7" s="14" t="inlineStr">
        <is>
          <t>Estimated 40 hours of effort to build and onboard this lab.</t>
        </is>
      </c>
    </row>
    <row r="8" ht="40" customHeight="1">
      <c r="A8" s="4" t="inlineStr">
        <is>
          <t>Challenges</t>
        </is>
      </c>
      <c r="B8" s="4" t="inlineStr">
        <is>
          <t>Automation</t>
        </is>
      </c>
      <c r="C8" s="4" t="inlineStr">
        <is>
          <t>Content Onboarding (Research + authoring)</t>
        </is>
      </c>
      <c r="D8" s="4" t="inlineStr">
        <is>
          <t>CC1</t>
        </is>
      </c>
      <c r="E8" s="4" t="inlineStr">
        <is>
          <t>Lead</t>
        </is>
      </c>
    </row>
    <row r="9">
      <c r="A9" s="6" t="inlineStr">
        <is>
          <t>Exercise 1 - Sensitive information types</t>
        </is>
      </c>
      <c r="B9" s="6" t="n">
        <v>1</v>
      </c>
      <c r="C9" s="6" t="n">
        <v>2</v>
      </c>
      <c r="D9" s="6" t="inlineStr">
        <is>
          <t>Manoj</t>
        </is>
      </c>
      <c r="E9" s="6" t="inlineStr">
        <is>
          <t>Supreeth</t>
        </is>
      </c>
    </row>
    <row r="10">
      <c r="A10" s="6" t="inlineStr">
        <is>
          <t>Exercise 2 - Sensitivity labels and policy</t>
        </is>
      </c>
      <c r="B10" s="6" t="n">
        <v>1</v>
      </c>
      <c r="C10" s="6" t="n">
        <v>2</v>
      </c>
      <c r="D10" s="6" t="inlineStr">
        <is>
          <t>Manoj</t>
        </is>
      </c>
      <c r="E10" s="6" t="inlineStr">
        <is>
          <t>Supreeth</t>
        </is>
      </c>
    </row>
    <row r="11">
      <c r="A11" s="6" t="inlineStr">
        <is>
          <t>Exercise 3 - Data Loss Prevention</t>
        </is>
      </c>
      <c r="B11" s="6" t="n">
        <v>1</v>
      </c>
      <c r="C11" s="6" t="n">
        <v>2</v>
      </c>
      <c r="D11" s="6" t="inlineStr">
        <is>
          <t>Manoj</t>
        </is>
      </c>
      <c r="E11" s="6" t="inlineStr">
        <is>
          <t>Supreeth</t>
        </is>
      </c>
    </row>
    <row r="12">
      <c r="A12" s="6" t="inlineStr">
        <is>
          <t>Exercise 4 - Content explorer and evidence</t>
        </is>
      </c>
      <c r="B12" s="6" t="n">
        <v>1</v>
      </c>
      <c r="C12" s="6" t="n">
        <v>2</v>
      </c>
      <c r="D12" s="6" t="inlineStr">
        <is>
          <t>Manoj</t>
        </is>
      </c>
      <c r="E12" s="6" t="inlineStr">
        <is>
          <t>Supreeth</t>
        </is>
      </c>
    </row>
    <row r="13">
      <c r="A13" s="6" t="inlineStr">
        <is>
          <t>Buffer</t>
        </is>
      </c>
      <c r="B13" s="6" t="n">
        <v>3</v>
      </c>
      <c r="C13" s="6" t="n">
        <v>3</v>
      </c>
      <c r="D13" s="6" t="inlineStr">
        <is>
          <t>Manoj</t>
        </is>
      </c>
      <c r="E13" s="6" t="inlineStr">
        <is>
          <t>Supreeth</t>
        </is>
      </c>
    </row>
    <row r="14">
      <c r="A14" s="9" t="inlineStr">
        <is>
          <t>Subtotal</t>
        </is>
      </c>
      <c r="B14" s="15">
        <f>SUM(B9:B13)</f>
        <v/>
      </c>
      <c r="C14" s="15">
        <f>SUM(C9:C13)</f>
        <v/>
      </c>
      <c r="D14" s="8" t="n"/>
      <c r="E14" s="8" t="n"/>
    </row>
    <row r="15">
      <c r="A15" s="9" t="inlineStr">
        <is>
          <t>Total (build)</t>
        </is>
      </c>
      <c r="B15" s="15">
        <f>SUM(B14:C14)</f>
        <v/>
      </c>
      <c r="C15" s="8" t="n"/>
      <c r="D15" s="8" t="n"/>
      <c r="E15" s="8" t="n"/>
    </row>
    <row r="18" ht="32" customHeight="1">
      <c r="A18" s="4" t="inlineStr">
        <is>
          <t>Additional Inputs</t>
        </is>
      </c>
      <c r="B18" s="4" t="inlineStr">
        <is>
          <t>Duration in No. of Hours</t>
        </is>
      </c>
      <c r="C18" s="4" t="inlineStr">
        <is>
          <t>Concerned Team Member</t>
        </is>
      </c>
    </row>
    <row r="19">
      <c r="A19" s="6" t="inlineStr">
        <is>
          <t>Checklist onboarding and review</t>
        </is>
      </c>
      <c r="B19" s="6" t="n">
        <v>2</v>
      </c>
      <c r="C19" s="6" t="inlineStr">
        <is>
          <t>Manoj</t>
        </is>
      </c>
    </row>
    <row r="20">
      <c r="A20" s="6" t="inlineStr">
        <is>
          <t>Lab testing (deployment and end-to-end)</t>
        </is>
      </c>
      <c r="B20" s="6" t="n">
        <v>5</v>
      </c>
      <c r="C20" s="6" t="inlineStr">
        <is>
          <t>Manoj</t>
        </is>
      </c>
    </row>
    <row r="21">
      <c r="A21" s="6" t="inlineStr">
        <is>
          <t>Content review</t>
        </is>
      </c>
      <c r="B21" s="6" t="n">
        <v>1</v>
      </c>
      <c r="C21" s="6" t="inlineStr">
        <is>
          <t>Manoj</t>
        </is>
      </c>
    </row>
    <row r="22">
      <c r="A22" s="6" t="inlineStr">
        <is>
          <t>Tech lead</t>
        </is>
      </c>
      <c r="B22" s="6" t="n">
        <v>1</v>
      </c>
      <c r="C22" s="6" t="inlineStr">
        <is>
          <t>Supreeth</t>
        </is>
      </c>
    </row>
    <row r="23">
      <c r="A23" s="6" t="inlineStr">
        <is>
          <t>Validation</t>
        </is>
      </c>
      <c r="B23" s="6" t="n">
        <v>2</v>
      </c>
      <c r="C23" s="6" t="inlineStr">
        <is>
          <t>Manoj</t>
        </is>
      </c>
    </row>
    <row r="24">
      <c r="A24" s="6" t="inlineStr">
        <is>
          <t>PM</t>
        </is>
      </c>
      <c r="B24" s="6" t="n">
        <v>2</v>
      </c>
      <c r="C24" s="6" t="inlineStr">
        <is>
          <t>-</t>
        </is>
      </c>
    </row>
    <row r="25">
      <c r="A25" s="9" t="inlineStr">
        <is>
          <t>Total</t>
        </is>
      </c>
      <c r="B25" s="15">
        <f>SUM(B19:B24)</f>
        <v/>
      </c>
      <c r="C25" s="8" t="n"/>
    </row>
    <row r="27">
      <c r="A27" s="2" t="inlineStr">
        <is>
          <t>Total Duration Required (hours)</t>
        </is>
      </c>
      <c r="B27" s="16">
        <f>B25+B15</f>
        <v/>
      </c>
    </row>
    <row r="28">
      <c r="A28" s="2" t="inlineStr">
        <is>
          <t>Dev Cost</t>
        </is>
      </c>
      <c r="B28" s="6" t="n">
        <v>300</v>
      </c>
    </row>
    <row r="30">
      <c r="A30" s="13" t="inlineStr">
        <is>
          <t>Actual effort recorded: 19 hours. 19 defects found and fixed.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2026-08-28T17:16:06Z</dcterms:created>
  <dcterms:modified xmlns:dcterms="http://purl.org/dc/terms/" xmlns:xsi="http://www.w3.org/2001/XMLSchema-instance" xsi:type="dcterms:W3CDTF">2026-08-28T17:16:07Z</dcterms:modified>
</cp:coreProperties>
</file>